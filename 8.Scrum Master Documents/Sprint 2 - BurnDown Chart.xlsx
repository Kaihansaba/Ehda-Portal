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AUAF\Undergraduate\Sixth Semester\ITC 315\Final Project\"/>
    </mc:Choice>
  </mc:AlternateContent>
  <xr:revisionPtr revIDLastSave="0" documentId="13_ncr:1_{0552EA0C-7011-4216-85C9-8D389E5B8F0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print 2 Burndown" sheetId="1" r:id="rId1"/>
    <sheet name="Sprint 2 Scop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2" l="1"/>
  <c r="D14" i="1"/>
  <c r="D13" i="1"/>
  <c r="D12" i="1"/>
  <c r="D11" i="1"/>
  <c r="D10" i="1"/>
  <c r="D9" i="1"/>
  <c r="D8" i="1"/>
  <c r="B4" i="1"/>
  <c r="B14" i="1" s="1"/>
  <c r="E14" i="1" l="1"/>
  <c r="E11" i="1"/>
  <c r="B13" i="1"/>
  <c r="B8" i="1"/>
  <c r="E10" i="1"/>
  <c r="B12" i="1"/>
  <c r="E9" i="1"/>
  <c r="B11" i="1"/>
  <c r="E13" i="1"/>
  <c r="E15" i="1"/>
  <c r="B9" i="1"/>
  <c r="E8" i="1"/>
  <c r="B10" i="1"/>
  <c r="E12" i="1"/>
</calcChain>
</file>

<file path=xl/sharedStrings.xml><?xml version="1.0" encoding="utf-8"?>
<sst xmlns="http://schemas.openxmlformats.org/spreadsheetml/2006/main" count="75" uniqueCount="62">
  <si>
    <t>EHDA PORTAL  |  SPRINT 2 BURNDOWN</t>
  </si>
  <si>
    <t>Donor Search &amp; Map  •  Oct 17–22, 2026  •  Illustrative daily progress  •  Scrum Master: Madina Afshar</t>
  </si>
  <si>
    <t>Planned points</t>
  </si>
  <si>
    <t>Daily records</t>
  </si>
  <si>
    <t>6 of 6 illustrated</t>
  </si>
  <si>
    <t>Day / Date</t>
  </si>
  <si>
    <t>Ideal remaining</t>
  </si>
  <si>
    <t>Illustrative done ★</t>
  </si>
  <si>
    <t>Cumulative done</t>
  </si>
  <si>
    <t>Illustrative remaining</t>
  </si>
  <si>
    <t>Scenario notes — replace after verifying</t>
  </si>
  <si>
    <t>Sprint start</t>
  </si>
  <si>
    <t>Scenario only, not verified progress</t>
  </si>
  <si>
    <t>Oct 17 (Day 1)</t>
  </si>
  <si>
    <t>Kickoff / setup; no story marked Done</t>
  </si>
  <si>
    <t>Oct 18 (Day 2)</t>
  </si>
  <si>
    <t>Illustration: #006 blood-type search accepted</t>
  </si>
  <si>
    <t>Oct 19 (Day 3)</t>
  </si>
  <si>
    <t>Illustration: #009 approximate donor locations accepted</t>
  </si>
  <si>
    <t>Oct 20 (Day 4)</t>
  </si>
  <si>
    <t>Illustration: #007 location/distance search accepted</t>
  </si>
  <si>
    <t>Oct 21 (Day 5)</t>
  </si>
  <si>
    <t>Illustration: #010 blood requests accepted; 18/37 points done</t>
  </si>
  <si>
    <t>Oct 22 (Day 6)</t>
  </si>
  <si>
    <t>UNVERIFIED example: #023, #008, #024, #025 accepted</t>
  </si>
  <si>
    <t>ILLUSTRATIVE ONLY • Assumes 18/37 points by Oct 21 and completion on Oct 22. Verify against actual Done stories and test evidence.</t>
  </si>
  <si>
    <t>EHDA PORTAL  |  SPRINT 2 SCOPE</t>
  </si>
  <si>
    <t>Sprint 2 plan from your updated backlog (Oct 17–22). Estimates from Product Backlog; statuses/daily completion are unverified.</t>
  </si>
  <si>
    <t>Backlog ID</t>
  </si>
  <si>
    <t>Sprint 2 Task</t>
  </si>
  <si>
    <t>Story Points</t>
  </si>
  <si>
    <t>Responsible</t>
  </si>
  <si>
    <t>Scenario status</t>
  </si>
  <si>
    <t>Notes</t>
  </si>
  <si>
    <t>#006</t>
  </si>
  <si>
    <t>Search donors by blood type</t>
  </si>
  <si>
    <t>Ahmad Kaihan Saba</t>
  </si>
  <si>
    <t>Illustrative Done</t>
  </si>
  <si>
    <t>Donor blood type matching</t>
  </si>
  <si>
    <t>#007</t>
  </si>
  <si>
    <t>Search by location or distance</t>
  </si>
  <si>
    <t>Location and radius filters</t>
  </si>
  <si>
    <t>#009</t>
  </si>
  <si>
    <t>Display approximate locations</t>
  </si>
  <si>
    <t>Do not show exact home addresses</t>
  </si>
  <si>
    <t>#023</t>
  </si>
  <si>
    <t>Protect donor privacy</t>
  </si>
  <si>
    <t>Samira Azizi / Ahmad Kaihan Saba</t>
  </si>
  <si>
    <t>Shared across Sprint 1 and 2; verify allocation</t>
  </si>
  <si>
    <t>#008</t>
  </si>
  <si>
    <t>Interactive map</t>
  </si>
  <si>
    <t>Moved from Sprint 3 in Product Backlog</t>
  </si>
  <si>
    <t>#010</t>
  </si>
  <si>
    <t>Create and send blood requests</t>
  </si>
  <si>
    <t>Shafiqa Taraki</t>
  </si>
  <si>
    <t>#024</t>
  </si>
  <si>
    <t>Input validation and error handling</t>
  </si>
  <si>
    <t>All developers</t>
  </si>
  <si>
    <t>Shared across Sprints 1–4; verify allocation</t>
  </si>
  <si>
    <t>#025</t>
  </si>
  <si>
    <t>Search, privacy, request testing</t>
  </si>
  <si>
    <t>TOTAL SPRINT 2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</si>
</sst>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name val="Carlito"/>
    </font>
    <font>
      <b/>
      <sz val="16"/>
      <color rgb="FFFFFFFF"/>
      <name val="Carlito"/>
    </font>
    <font>
      <sz val="10"/>
      <color rgb="FF213547"/>
      <name val="Carlito"/>
    </font>
    <font>
      <b/>
      <sz val="11"/>
      <color rgb="FFFFFFFF"/>
      <name val="Carlito"/>
    </font>
    <font>
      <b/>
      <sz val="11"/>
      <color rgb="FF17324D"/>
      <name val="Carlito"/>
    </font>
    <font>
      <sz val="11"/>
      <color rgb="FF213547"/>
      <name val="Carlito"/>
    </font>
    <font>
      <i/>
      <sz val="11"/>
      <color rgb="FF64748B"/>
      <name val="Carlito"/>
    </font>
    <font>
      <b/>
      <sz val="10"/>
      <color rgb="FF15364F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8F1F8"/>
      </patternFill>
    </fill>
    <fill>
      <patternFill patternType="solid">
        <fgColor rgb="FF245B83"/>
      </patternFill>
    </fill>
    <fill>
      <patternFill patternType="solid">
        <fgColor rgb="FFFFF3CB"/>
      </patternFill>
    </fill>
    <fill>
      <patternFill patternType="solid">
        <fgColor rgb="FFF3F6F9"/>
      </patternFill>
    </fill>
    <fill>
      <patternFill patternType="solid">
        <fgColor rgb="FFE8F3F8"/>
      </patternFill>
    </fill>
    <fill>
      <patternFill patternType="solid">
        <fgColor rgb="FFFFF1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4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4" fillId="6" borderId="0" xfId="0" applyFont="1" applyFill="1"/>
    <xf numFmtId="0" fontId="5" fillId="0" borderId="0" xfId="0" applyFont="1"/>
    <xf numFmtId="164" fontId="5" fillId="0" borderId="0" xfId="0" applyNumberFormat="1" applyFont="1"/>
    <xf numFmtId="1" fontId="5" fillId="0" borderId="0" xfId="0" applyNumberFormat="1" applyFont="1"/>
    <xf numFmtId="1" fontId="4" fillId="5" borderId="0" xfId="0" applyNumberFormat="1" applyFont="1" applyFill="1"/>
    <xf numFmtId="0" fontId="2" fillId="0" borderId="0" xfId="0" applyFont="1"/>
    <xf numFmtId="0" fontId="6" fillId="0" borderId="0" xfId="0" applyFont="1"/>
    <xf numFmtId="0" fontId="5" fillId="5" borderId="0" xfId="0" applyFont="1" applyFill="1" applyAlignment="1">
      <alignment vertical="center" wrapText="1"/>
    </xf>
    <xf numFmtId="1" fontId="4" fillId="8" borderId="0" xfId="0" applyNumberFormat="1" applyFont="1" applyFill="1"/>
    <xf numFmtId="1" fontId="4" fillId="8" borderId="0" xfId="0" applyNumberFormat="1" applyFont="1" applyFill="1" applyAlignment="1">
      <alignment vertical="center"/>
    </xf>
    <xf numFmtId="0" fontId="5" fillId="8" borderId="0" xfId="0" applyFont="1" applyFill="1" applyAlignment="1">
      <alignment vertical="center" wrapText="1"/>
    </xf>
    <xf numFmtId="0" fontId="5" fillId="8" borderId="0" xfId="0" applyFont="1" applyFill="1" applyAlignment="1">
      <alignment horizontal="left" vertical="center" wrapText="1"/>
    </xf>
    <xf numFmtId="0" fontId="0" fillId="8" borderId="0" xfId="0" applyFill="1" applyAlignment="1">
      <alignment vertical="center" wrapText="1"/>
    </xf>
    <xf numFmtId="0" fontId="4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1" fillId="2" borderId="0" xfId="0" applyFont="1" applyFill="1"/>
    <xf numFmtId="0" fontId="5" fillId="3" borderId="0" xfId="0" applyFont="1" applyFill="1"/>
    <xf numFmtId="0" fontId="7" fillId="7" borderId="0" xfId="0" applyFont="1" applyFill="1" applyAlignment="1">
      <alignment wrapText="1"/>
    </xf>
    <xf numFmtId="0" fontId="2" fillId="3" borderId="0" xfId="0" applyFont="1" applyFill="1"/>
    <xf numFmtId="0" fontId="4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Ideal remaining</c:v>
          </c:tx>
          <c:marker>
            <c:symbol val="none"/>
          </c:marker>
          <c:cat>
            <c:strRef>
              <c:f>'Sprint 2 Burndown'!$A$8:$A$14</c:f>
              <c:strCache>
                <c:ptCount val="7"/>
                <c:pt idx="0">
                  <c:v>Sprint start</c:v>
                </c:pt>
                <c:pt idx="1">
                  <c:v>Oct 17 (Day 1)</c:v>
                </c:pt>
                <c:pt idx="2">
                  <c:v>Oct 18 (Day 2)</c:v>
                </c:pt>
                <c:pt idx="3">
                  <c:v>Oct 19 (Day 3)</c:v>
                </c:pt>
                <c:pt idx="4">
                  <c:v>Oct 20 (Day 4)</c:v>
                </c:pt>
                <c:pt idx="5">
                  <c:v>Oct 21 (Day 5)</c:v>
                </c:pt>
                <c:pt idx="6">
                  <c:v>Oct 22 (Day 6)</c:v>
                </c:pt>
              </c:strCache>
            </c:strRef>
          </c:cat>
          <c:val>
            <c:numRef>
              <c:f>'Sprint 2 Burndown'!$B$8:$B$14</c:f>
              <c:numCache>
                <c:formatCode>0.0</c:formatCode>
                <c:ptCount val="7"/>
                <c:pt idx="0">
                  <c:v>37</c:v>
                </c:pt>
                <c:pt idx="1">
                  <c:v>30.8</c:v>
                </c:pt>
                <c:pt idx="2">
                  <c:v>24.7</c:v>
                </c:pt>
                <c:pt idx="3">
                  <c:v>18.5</c:v>
                </c:pt>
                <c:pt idx="4">
                  <c:v>12.3</c:v>
                </c:pt>
                <c:pt idx="5">
                  <c:v>6.2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6F-444A-ADA6-4E7711AA3B6B}"/>
            </c:ext>
          </c:extLst>
        </c:ser>
        <c:ser>
          <c:idx val="1"/>
          <c:order val="1"/>
          <c:tx>
            <c:v>Illustrative remaining (not verified)</c:v>
          </c:tx>
          <c:marker>
            <c:symbol val="none"/>
          </c:marker>
          <c:cat>
            <c:strRef>
              <c:f>'Sprint 2 Burndown'!$A$8:$A$14</c:f>
              <c:strCache>
                <c:ptCount val="7"/>
                <c:pt idx="0">
                  <c:v>Sprint start</c:v>
                </c:pt>
                <c:pt idx="1">
                  <c:v>Oct 17 (Day 1)</c:v>
                </c:pt>
                <c:pt idx="2">
                  <c:v>Oct 18 (Day 2)</c:v>
                </c:pt>
                <c:pt idx="3">
                  <c:v>Oct 19 (Day 3)</c:v>
                </c:pt>
                <c:pt idx="4">
                  <c:v>Oct 20 (Day 4)</c:v>
                </c:pt>
                <c:pt idx="5">
                  <c:v>Oct 21 (Day 5)</c:v>
                </c:pt>
                <c:pt idx="6">
                  <c:v>Oct 22 (Day 6)</c:v>
                </c:pt>
              </c:strCache>
            </c:strRef>
          </c:cat>
          <c:val>
            <c:numRef>
              <c:f>'Sprint 2 Burndown'!$E$8:$E$14</c:f>
              <c:numCache>
                <c:formatCode>0.0</c:formatCode>
                <c:ptCount val="7"/>
                <c:pt idx="0">
                  <c:v>37</c:v>
                </c:pt>
                <c:pt idx="1">
                  <c:v>37</c:v>
                </c:pt>
                <c:pt idx="2">
                  <c:v>32</c:v>
                </c:pt>
                <c:pt idx="3">
                  <c:v>29</c:v>
                </c:pt>
                <c:pt idx="4">
                  <c:v>24</c:v>
                </c:pt>
                <c:pt idx="5">
                  <c:v>19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6F-444A-ADA6-4E7711AA3B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17</xdr:col>
      <xdr:colOff>0</xdr:colOff>
      <xdr:row>25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zoomScale="44" workbookViewId="0">
      <pane ySplit="7" topLeftCell="A8" activePane="bottomLeft" state="frozen"/>
      <selection pane="bottomLeft" activeCell="A17" sqref="A17:F17"/>
    </sheetView>
  </sheetViews>
  <sheetFormatPr defaultRowHeight="13.8"/>
  <cols>
    <col min="1" max="1" width="19" customWidth="1"/>
    <col min="2" max="5" width="17" customWidth="1"/>
    <col min="6" max="6" width="52" customWidth="1"/>
  </cols>
  <sheetData>
    <row r="1" spans="1:6" ht="37.049999999999997" customHeight="1">
      <c r="A1" s="18" t="s">
        <v>0</v>
      </c>
      <c r="B1" s="18"/>
      <c r="C1" s="18"/>
      <c r="D1" s="18"/>
      <c r="E1" s="18"/>
      <c r="F1" s="18"/>
    </row>
    <row r="2" spans="1:6" ht="27" customHeight="1">
      <c r="A2" s="19" t="s">
        <v>1</v>
      </c>
      <c r="B2" s="19"/>
      <c r="C2" s="19"/>
      <c r="D2" s="19"/>
      <c r="E2" s="19"/>
      <c r="F2" s="19"/>
    </row>
    <row r="4" spans="1:6" ht="31.95" customHeight="1">
      <c r="A4" s="3" t="s">
        <v>2</v>
      </c>
      <c r="B4" s="3">
        <f>'Sprint 2 Scope'!C15</f>
        <v>37</v>
      </c>
      <c r="C4" s="3" t="s">
        <v>3</v>
      </c>
      <c r="D4" s="3" t="s">
        <v>4</v>
      </c>
    </row>
    <row r="7" spans="1:6" ht="37.950000000000003" customHeight="1">
      <c r="A7" s="1" t="s">
        <v>5</v>
      </c>
      <c r="B7" s="1" t="s">
        <v>6</v>
      </c>
      <c r="C7" s="1" t="s">
        <v>7</v>
      </c>
      <c r="D7" s="1" t="s">
        <v>8</v>
      </c>
      <c r="E7" s="1" t="s">
        <v>9</v>
      </c>
      <c r="F7" s="1" t="s">
        <v>10</v>
      </c>
    </row>
    <row r="8" spans="1:6" ht="30" customHeight="1">
      <c r="A8" s="4" t="s">
        <v>11</v>
      </c>
      <c r="B8" s="5">
        <f>$B$4</f>
        <v>37</v>
      </c>
      <c r="C8" s="6">
        <v>0</v>
      </c>
      <c r="D8" s="5">
        <f>0</f>
        <v>0</v>
      </c>
      <c r="E8" s="5">
        <f>$B$4</f>
        <v>37</v>
      </c>
      <c r="F8" s="4" t="s">
        <v>12</v>
      </c>
    </row>
    <row r="9" spans="1:6" ht="24" customHeight="1">
      <c r="A9" s="4" t="s">
        <v>13</v>
      </c>
      <c r="B9" s="5">
        <f t="shared" ref="B9:B14" si="0">ROUND(MAX(0,$B$4*(1-(ROW()-8)/COUNTA($A$9:$A$14))),1)</f>
        <v>30.8</v>
      </c>
      <c r="C9" s="11">
        <v>0</v>
      </c>
      <c r="D9" s="5">
        <f>SUM($C$9:C9)</f>
        <v>0</v>
      </c>
      <c r="E9" s="5">
        <f t="shared" ref="E9:E15" si="1">$B$4-D9</f>
        <v>37</v>
      </c>
      <c r="F9" s="13" t="s">
        <v>14</v>
      </c>
    </row>
    <row r="10" spans="1:6" ht="24" customHeight="1">
      <c r="A10" s="4" t="s">
        <v>15</v>
      </c>
      <c r="B10" s="5">
        <f t="shared" si="0"/>
        <v>24.7</v>
      </c>
      <c r="C10" s="12">
        <v>5</v>
      </c>
      <c r="D10" s="5">
        <f>SUM($C$9:C10)</f>
        <v>5</v>
      </c>
      <c r="E10" s="5">
        <f t="shared" si="1"/>
        <v>32</v>
      </c>
      <c r="F10" s="14" t="s">
        <v>16</v>
      </c>
    </row>
    <row r="11" spans="1:6" ht="24" customHeight="1">
      <c r="A11" s="4" t="s">
        <v>17</v>
      </c>
      <c r="B11" s="5">
        <f t="shared" si="0"/>
        <v>18.5</v>
      </c>
      <c r="C11" s="11">
        <v>3</v>
      </c>
      <c r="D11" s="5">
        <f>SUM($C$9:C11)</f>
        <v>8</v>
      </c>
      <c r="E11" s="5">
        <f t="shared" si="1"/>
        <v>29</v>
      </c>
      <c r="F11" s="15" t="s">
        <v>18</v>
      </c>
    </row>
    <row r="12" spans="1:6" ht="24" customHeight="1">
      <c r="A12" s="4" t="s">
        <v>19</v>
      </c>
      <c r="B12" s="5">
        <f t="shared" si="0"/>
        <v>12.3</v>
      </c>
      <c r="C12" s="11">
        <v>5</v>
      </c>
      <c r="D12" s="5">
        <f>SUM($C$9:C12)</f>
        <v>13</v>
      </c>
      <c r="E12" s="5">
        <f t="shared" si="1"/>
        <v>24</v>
      </c>
      <c r="F12" s="13" t="s">
        <v>20</v>
      </c>
    </row>
    <row r="13" spans="1:6" ht="24" customHeight="1">
      <c r="A13" s="4" t="s">
        <v>21</v>
      </c>
      <c r="B13" s="5">
        <f t="shared" si="0"/>
        <v>6.2</v>
      </c>
      <c r="C13" s="11">
        <v>5</v>
      </c>
      <c r="D13" s="5">
        <f>SUM($C$9:C13)</f>
        <v>18</v>
      </c>
      <c r="E13" s="5">
        <f t="shared" si="1"/>
        <v>19</v>
      </c>
      <c r="F13" s="13" t="s">
        <v>22</v>
      </c>
    </row>
    <row r="14" spans="1:6" ht="24" customHeight="1">
      <c r="A14" s="4" t="s">
        <v>23</v>
      </c>
      <c r="B14" s="5">
        <f t="shared" si="0"/>
        <v>0</v>
      </c>
      <c r="C14" s="11">
        <v>19</v>
      </c>
      <c r="D14" s="5">
        <f>SUM($C$9:C14)</f>
        <v>37</v>
      </c>
      <c r="E14" s="5">
        <f t="shared" si="1"/>
        <v>0</v>
      </c>
      <c r="F14" s="13" t="s">
        <v>24</v>
      </c>
    </row>
    <row r="15" spans="1:6" ht="24" customHeight="1">
      <c r="A15" s="4"/>
      <c r="B15" s="5"/>
      <c r="C15" s="7"/>
      <c r="D15" s="5"/>
      <c r="E15" s="5">
        <f t="shared" si="1"/>
        <v>37</v>
      </c>
      <c r="F15" s="10"/>
    </row>
    <row r="16" spans="1:6" ht="31.95" customHeight="1">
      <c r="A16" s="8"/>
      <c r="B16" s="8"/>
      <c r="C16" s="8"/>
      <c r="D16" s="8"/>
      <c r="E16" s="8"/>
      <c r="F16" s="8"/>
    </row>
    <row r="17" spans="1:6" ht="34.049999999999997" customHeight="1">
      <c r="A17" s="20" t="s">
        <v>25</v>
      </c>
      <c r="B17" s="20"/>
      <c r="C17" s="20"/>
      <c r="D17" s="20"/>
      <c r="E17" s="20"/>
      <c r="F17" s="20"/>
    </row>
    <row r="18" spans="1:6" ht="31.95" customHeight="1">
      <c r="A18" s="8"/>
      <c r="B18" s="8"/>
      <c r="C18" s="8"/>
      <c r="D18" s="8"/>
      <c r="E18" s="8"/>
      <c r="F18" s="8"/>
    </row>
    <row r="19" spans="1:6" ht="31.95" customHeight="1">
      <c r="A19" s="8"/>
      <c r="B19" s="8"/>
      <c r="C19" s="8"/>
      <c r="D19" s="8"/>
      <c r="E19" s="8"/>
      <c r="F19" s="8"/>
    </row>
    <row r="20" spans="1:6" ht="31.95" customHeight="1">
      <c r="A20" s="8"/>
      <c r="B20" s="8"/>
      <c r="C20" s="8"/>
      <c r="D20" s="8"/>
      <c r="E20" s="8"/>
      <c r="F20" s="8"/>
    </row>
    <row r="21" spans="1:6" ht="31.95" customHeight="1">
      <c r="A21" s="8"/>
      <c r="B21" s="8"/>
      <c r="C21" s="8"/>
      <c r="D21" s="8"/>
      <c r="E21" s="8"/>
      <c r="F21" s="8"/>
    </row>
    <row r="23" spans="1:6" ht="34.049999999999997" customHeight="1">
      <c r="A23" s="4"/>
      <c r="B23" s="4"/>
      <c r="C23" s="4"/>
      <c r="D23" s="4"/>
      <c r="E23" s="4"/>
      <c r="F23" s="4"/>
    </row>
  </sheetData>
  <mergeCells count="3">
    <mergeCell ref="A1:F1"/>
    <mergeCell ref="A2:F2"/>
    <mergeCell ref="A17:F17"/>
  </mergeCells>
  <dataValidations count="1">
    <dataValidation type="whole" sqref="C9:C15" xr:uid="{00000000-0002-0000-0000-000000000000}">
      <formula1>0</formula1>
      <formula2>33</formula2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workbookViewId="0">
      <pane ySplit="5" topLeftCell="A6" activePane="bottomLeft" state="frozen"/>
      <selection pane="bottomLeft" activeCell="B18" sqref="B18"/>
    </sheetView>
  </sheetViews>
  <sheetFormatPr defaultRowHeight="13.8"/>
  <cols>
    <col min="1" max="1" width="13" customWidth="1"/>
    <col min="2" max="2" width="42" customWidth="1"/>
    <col min="3" max="3" width="15" customWidth="1"/>
    <col min="4" max="4" width="24" customWidth="1"/>
    <col min="5" max="5" width="23" customWidth="1"/>
    <col min="6" max="6" width="40" customWidth="1"/>
  </cols>
  <sheetData>
    <row r="1" spans="1:6" ht="34.049999999999997" customHeight="1">
      <c r="A1" s="18" t="s">
        <v>26</v>
      </c>
      <c r="B1" s="18"/>
      <c r="C1" s="18"/>
      <c r="D1" s="18"/>
      <c r="E1" s="18"/>
      <c r="F1" s="18"/>
    </row>
    <row r="2" spans="1:6" ht="25.05" customHeight="1">
      <c r="A2" s="21" t="s">
        <v>27</v>
      </c>
      <c r="B2" s="21"/>
      <c r="C2" s="21"/>
      <c r="D2" s="21"/>
      <c r="E2" s="21"/>
      <c r="F2" s="21"/>
    </row>
    <row r="5" spans="1:6" ht="31.05" customHeight="1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33</v>
      </c>
    </row>
    <row r="6" spans="1:6" ht="25.95" customHeight="1">
      <c r="A6" s="2" t="s">
        <v>34</v>
      </c>
      <c r="B6" s="2" t="s">
        <v>35</v>
      </c>
      <c r="C6" s="2">
        <v>5</v>
      </c>
      <c r="D6" s="2" t="s">
        <v>36</v>
      </c>
      <c r="E6" s="2" t="s">
        <v>37</v>
      </c>
      <c r="F6" s="2" t="s">
        <v>38</v>
      </c>
    </row>
    <row r="7" spans="1:6" ht="25.95" customHeight="1">
      <c r="A7" s="2" t="s">
        <v>39</v>
      </c>
      <c r="B7" s="2" t="s">
        <v>40</v>
      </c>
      <c r="C7" s="2">
        <v>5</v>
      </c>
      <c r="D7" s="2" t="s">
        <v>36</v>
      </c>
      <c r="E7" s="2" t="s">
        <v>37</v>
      </c>
      <c r="F7" s="2" t="s">
        <v>41</v>
      </c>
    </row>
    <row r="8" spans="1:6" ht="25.95" customHeight="1">
      <c r="A8" s="2" t="s">
        <v>42</v>
      </c>
      <c r="B8" s="2" t="s">
        <v>43</v>
      </c>
      <c r="C8" s="2">
        <v>3</v>
      </c>
      <c r="D8" s="2" t="s">
        <v>36</v>
      </c>
      <c r="E8" s="2" t="s">
        <v>37</v>
      </c>
      <c r="F8" s="2" t="s">
        <v>44</v>
      </c>
    </row>
    <row r="9" spans="1:6" ht="25.95" customHeight="1">
      <c r="A9" s="2" t="s">
        <v>45</v>
      </c>
      <c r="B9" s="2" t="s">
        <v>46</v>
      </c>
      <c r="C9" s="2">
        <v>3</v>
      </c>
      <c r="D9" s="2" t="s">
        <v>47</v>
      </c>
      <c r="E9" s="2" t="s">
        <v>37</v>
      </c>
      <c r="F9" s="2" t="s">
        <v>48</v>
      </c>
    </row>
    <row r="10" spans="1:6" ht="25.95" customHeight="1">
      <c r="A10" s="2" t="s">
        <v>49</v>
      </c>
      <c r="B10" s="2" t="s">
        <v>50</v>
      </c>
      <c r="C10" s="2">
        <v>8</v>
      </c>
      <c r="D10" s="2" t="s">
        <v>36</v>
      </c>
      <c r="E10" s="2" t="s">
        <v>37</v>
      </c>
      <c r="F10" s="2" t="s">
        <v>51</v>
      </c>
    </row>
    <row r="11" spans="1:6" ht="25.95" customHeight="1">
      <c r="A11" s="2" t="s">
        <v>52</v>
      </c>
      <c r="B11" s="2" t="s">
        <v>53</v>
      </c>
      <c r="C11" s="2">
        <v>5</v>
      </c>
      <c r="D11" s="2" t="s">
        <v>54</v>
      </c>
      <c r="E11" s="2" t="s">
        <v>37</v>
      </c>
      <c r="F11" s="2" t="s">
        <v>51</v>
      </c>
    </row>
    <row r="12" spans="1:6" ht="25.95" customHeight="1">
      <c r="A12" s="2" t="s">
        <v>55</v>
      </c>
      <c r="B12" s="2" t="s">
        <v>56</v>
      </c>
      <c r="C12" s="2">
        <v>3</v>
      </c>
      <c r="D12" s="2" t="s">
        <v>57</v>
      </c>
      <c r="E12" s="2" t="s">
        <v>37</v>
      </c>
      <c r="F12" s="2" t="s">
        <v>58</v>
      </c>
    </row>
    <row r="13" spans="1:6" ht="25.95" customHeight="1">
      <c r="A13" s="2" t="s">
        <v>59</v>
      </c>
      <c r="B13" s="2" t="s">
        <v>60</v>
      </c>
      <c r="C13" s="2">
        <v>5</v>
      </c>
      <c r="D13" s="2" t="s">
        <v>57</v>
      </c>
      <c r="E13" s="2" t="s">
        <v>37</v>
      </c>
      <c r="F13" s="2" t="s">
        <v>58</v>
      </c>
    </row>
    <row r="14" spans="1:6" ht="25.95" customHeight="1">
      <c r="A14" s="2"/>
      <c r="B14" s="2"/>
      <c r="C14" s="2"/>
      <c r="D14" s="2"/>
      <c r="E14" s="2"/>
      <c r="F14" s="2"/>
    </row>
    <row r="15" spans="1:6">
      <c r="A15" t="s">
        <v>61</v>
      </c>
      <c r="C15">
        <f>SUM(C6:C13)</f>
        <v>37</v>
      </c>
    </row>
    <row r="16" spans="1:6" ht="30" customHeight="1">
      <c r="A16" s="22"/>
      <c r="B16" s="22"/>
      <c r="C16" s="16"/>
      <c r="D16" s="16"/>
      <c r="E16" s="16"/>
      <c r="F16" s="16"/>
    </row>
    <row r="17" spans="1:6" ht="30" customHeight="1">
      <c r="A17" s="17"/>
      <c r="B17" s="17"/>
      <c r="C17" s="17"/>
      <c r="D17" s="17"/>
      <c r="E17" s="17"/>
      <c r="F17" s="17"/>
    </row>
    <row r="18" spans="1:6" ht="48" customHeight="1">
      <c r="A18" s="4"/>
      <c r="B18" s="4"/>
      <c r="C18" s="4"/>
      <c r="D18" s="4"/>
      <c r="E18" s="4"/>
      <c r="F18" s="4"/>
    </row>
    <row r="20" spans="1:6" ht="14.4">
      <c r="A20" s="9"/>
      <c r="B20" s="9"/>
      <c r="C20" s="9"/>
      <c r="D20" s="9"/>
      <c r="E20" s="9"/>
      <c r="F20" s="9"/>
    </row>
  </sheetData>
  <mergeCells count="3">
    <mergeCell ref="A1:F1"/>
    <mergeCell ref="A2:F2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Sprint 2 Burndown</vt:lpstr>
      <vt:lpstr>Sprint 2 Scope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Madina Afshar</cp:lastModifiedBy>
  <dcterms:modified xsi:type="dcterms:W3CDTF">2026-10-30T17:21:49Z</dcterms:modified>
</cp:coreProperties>
</file>